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64011"/>
  <mc:AlternateContent xmlns:mc="http://schemas.openxmlformats.org/markup-compatibility/2006">
    <mc:Choice Requires="x15">
      <x15ac:absPath xmlns:x15ac="http://schemas.microsoft.com/office/spreadsheetml/2010/11/ac" url="C:\Users\jonat\Desktop\Roberta\Curso Excel Santander com IA\Projeto 1 - Simulador investimento\"/>
    </mc:Choice>
  </mc:AlternateContent>
  <bookViews>
    <workbookView xWindow="0" yWindow="0" windowWidth="28800" windowHeight="12330"/>
  </bookViews>
  <sheets>
    <sheet name="Dados de Entrada" sheetId="1" r:id="rId1"/>
    <sheet name="Evolução do Investimento" sheetId="6" r:id="rId2"/>
    <sheet name="Perguntas de Negócio" sheetId="4" r:id="rId3"/>
  </sheets>
  <definedNames>
    <definedName name="Aporte_inicial_formula">'Dados de Entrada'!$D$27</definedName>
    <definedName name="Dividendo_mensal_por_cota">'Dados de Entrada'!$D$21</definedName>
    <definedName name="nome_FII">'Dados de Entrada'!$D$19</definedName>
    <definedName name="Preço_da_cota">'Dados de Entrada'!$D$20</definedName>
    <definedName name="quantidade_de_cotas">'Dados de Entrada'!$D$26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1" l="1"/>
  <c r="E7" i="6" l="1"/>
  <c r="E8" i="6"/>
  <c r="E9" i="6"/>
  <c r="E10" i="6"/>
  <c r="E11" i="6"/>
  <c r="E12" i="6"/>
  <c r="E13" i="6"/>
  <c r="E14" i="6"/>
  <c r="E15" i="6"/>
  <c r="E16" i="6"/>
  <c r="E17" i="6"/>
  <c r="E6" i="6"/>
  <c r="D37" i="1" l="1"/>
  <c r="D38" i="1" s="1"/>
  <c r="D40" i="1"/>
  <c r="D6" i="6"/>
  <c r="D7" i="6"/>
  <c r="D8" i="6"/>
  <c r="D9" i="6"/>
  <c r="D10" i="6"/>
  <c r="D11" i="6"/>
  <c r="D12" i="6"/>
  <c r="D13" i="6"/>
  <c r="D14" i="6"/>
  <c r="D15" i="6"/>
  <c r="D16" i="6"/>
  <c r="D17" i="6"/>
  <c r="F6" i="6"/>
  <c r="G6" i="6" s="1"/>
  <c r="D27" i="1"/>
  <c r="E18" i="6" l="1"/>
  <c r="D43" i="1" s="1"/>
  <c r="D18" i="6"/>
  <c r="D41" i="1" s="1"/>
  <c r="H6" i="6"/>
  <c r="C7" i="6" s="1"/>
  <c r="F7" i="6" s="1"/>
  <c r="G7" i="6" l="1"/>
  <c r="H7" i="6" s="1"/>
  <c r="C8" i="6" s="1"/>
  <c r="F8" i="6" s="1"/>
  <c r="G8" i="6" s="1"/>
  <c r="H8" i="6" s="1"/>
  <c r="C9" i="6" s="1"/>
  <c r="F9" i="6" s="1"/>
  <c r="G9" i="6" s="1"/>
  <c r="H9" i="6" s="1"/>
  <c r="C10" i="6" s="1"/>
  <c r="F10" i="6" s="1"/>
  <c r="G10" i="6" s="1"/>
  <c r="H10" i="6" s="1"/>
  <c r="C11" i="6" s="1"/>
  <c r="F11" i="6" s="1"/>
  <c r="G11" i="6" s="1"/>
  <c r="H11" i="6" s="1"/>
  <c r="C12" i="6" s="1"/>
  <c r="F12" i="6" l="1"/>
  <c r="G12" i="6" s="1"/>
  <c r="H12" i="6" s="1"/>
  <c r="C13" i="6" s="1"/>
  <c r="F13" i="6" l="1"/>
  <c r="G13" i="6" s="1"/>
  <c r="H13" i="6" s="1"/>
  <c r="C14" i="6" s="1"/>
  <c r="F14" i="6" l="1"/>
  <c r="G14" i="6" s="1"/>
  <c r="H14" i="6" s="1"/>
  <c r="C15" i="6" s="1"/>
  <c r="F15" i="6" l="1"/>
  <c r="G15" i="6" s="1"/>
  <c r="H15" i="6" s="1"/>
  <c r="C16" i="6" s="1"/>
  <c r="F16" i="6" l="1"/>
  <c r="G16" i="6" s="1"/>
  <c r="H16" i="6" s="1"/>
  <c r="C17" i="6" s="1"/>
  <c r="F17" i="6" l="1"/>
  <c r="G17" i="6" l="1"/>
  <c r="H17" i="6" s="1"/>
  <c r="F18" i="6"/>
  <c r="D42" i="1" s="1"/>
</calcChain>
</file>

<file path=xl/sharedStrings.xml><?xml version="1.0" encoding="utf-8"?>
<sst xmlns="http://schemas.openxmlformats.org/spreadsheetml/2006/main" count="35" uniqueCount="35">
  <si>
    <t>Aporte Mensal (R$)</t>
  </si>
  <si>
    <t>Aporte Inicial (R$)</t>
  </si>
  <si>
    <t>Preço da Cota (R$)</t>
  </si>
  <si>
    <t>Dividendo Mensal por Cota (R$)</t>
  </si>
  <si>
    <t>SIM</t>
  </si>
  <si>
    <t>Qual o valor total investido?</t>
  </si>
  <si>
    <t>Qual o patrimônio acumulado?</t>
  </si>
  <si>
    <t>Quais são os dividendos mensais?</t>
  </si>
  <si>
    <t>Quantidade de Cotas</t>
  </si>
  <si>
    <t>FII 25625</t>
  </si>
  <si>
    <t>Informações do FII</t>
  </si>
  <si>
    <t>Investimento Inicial</t>
  </si>
  <si>
    <t>Aportes Mensais</t>
  </si>
  <si>
    <t>Numero de Meses da Simulação</t>
  </si>
  <si>
    <t>Frequencia de Pagamento</t>
  </si>
  <si>
    <t>Mensal</t>
  </si>
  <si>
    <t>Reinvestir Dividendos? (SIM ou Não)</t>
  </si>
  <si>
    <t>Indicadores Principais</t>
  </si>
  <si>
    <t>Renda Mensal Estimada (R$)</t>
  </si>
  <si>
    <t>Renda Anual Estimada (R$)</t>
  </si>
  <si>
    <t>Dividend Yield Mensal (%)</t>
  </si>
  <si>
    <t>Dividend Yield Anual (%)</t>
  </si>
  <si>
    <t>Total Investido (R$)</t>
  </si>
  <si>
    <t>Total Recebido em Dividendos</t>
  </si>
  <si>
    <t>Quantidade Final de Cotas</t>
  </si>
  <si>
    <t>Evolução do Investimento</t>
  </si>
  <si>
    <t>Mês</t>
  </si>
  <si>
    <t>Cotas Iniciais</t>
  </si>
  <si>
    <t>Aporte (R$)</t>
  </si>
  <si>
    <t>Novas Cotas</t>
  </si>
  <si>
    <t>Dividendos (R$)</t>
  </si>
  <si>
    <t>Reinvestimento</t>
  </si>
  <si>
    <t>Cotas Finais</t>
  </si>
  <si>
    <t>Nome do FII (opcional)</t>
  </si>
  <si>
    <t>Perguntas de negócio: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</si>
</sst>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828B"/>
        <bgColor indexed="64"/>
      </patternFill>
    </fill>
    <fill>
      <patternFill patternType="solid">
        <fgColor rgb="FF6C9CA3"/>
        <bgColor indexed="64"/>
      </patternFill>
    </fill>
    <fill>
      <patternFill patternType="solid">
        <fgColor rgb="FFBD929C"/>
        <bgColor indexed="64"/>
      </patternFill>
    </fill>
  </fills>
  <borders count="21">
    <border>
      <left/>
      <right/>
      <top/>
      <bottom/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/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indexed="64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44" fontId="0" fillId="0" borderId="0" xfId="1" applyFont="1"/>
    <xf numFmtId="49" fontId="2" fillId="3" borderId="3" xfId="1" applyNumberFormat="1" applyFont="1" applyFill="1" applyBorder="1" applyAlignment="1">
      <alignment horizontal="center"/>
    </xf>
    <xf numFmtId="164" fontId="2" fillId="3" borderId="3" xfId="1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4" fillId="6" borderId="12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44" fontId="4" fillId="6" borderId="19" xfId="1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3" fillId="5" borderId="10" xfId="0" applyFont="1" applyFill="1" applyBorder="1"/>
    <xf numFmtId="0" fontId="3" fillId="5" borderId="12" xfId="0" applyFont="1" applyFill="1" applyBorder="1"/>
    <xf numFmtId="0" fontId="3" fillId="5" borderId="14" xfId="0" applyFont="1" applyFill="1" applyBorder="1"/>
    <xf numFmtId="0" fontId="5" fillId="0" borderId="0" xfId="0" applyFont="1"/>
    <xf numFmtId="0" fontId="2" fillId="5" borderId="12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/>
    </xf>
    <xf numFmtId="164" fontId="2" fillId="2" borderId="11" xfId="1" applyNumberFormat="1" applyFont="1" applyFill="1" applyBorder="1" applyAlignment="1">
      <alignment horizontal="center" wrapText="1"/>
    </xf>
    <xf numFmtId="164" fontId="2" fillId="2" borderId="13" xfId="0" applyNumberFormat="1" applyFont="1" applyFill="1" applyBorder="1" applyAlignment="1">
      <alignment horizontal="center"/>
    </xf>
    <xf numFmtId="1" fontId="2" fillId="2" borderId="15" xfId="1" applyNumberFormat="1" applyFont="1" applyFill="1" applyBorder="1" applyAlignment="1">
      <alignment horizontal="center" wrapText="1"/>
    </xf>
    <xf numFmtId="0" fontId="6" fillId="4" borderId="8" xfId="0" applyFont="1" applyFill="1" applyBorder="1" applyAlignment="1">
      <alignment horizontal="left"/>
    </xf>
    <xf numFmtId="0" fontId="6" fillId="4" borderId="9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6" fillId="4" borderId="7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2" fillId="0" borderId="12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44" fontId="2" fillId="0" borderId="19" xfId="1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6" borderId="14" xfId="0" applyFont="1" applyFill="1" applyBorder="1"/>
    <xf numFmtId="0" fontId="2" fillId="6" borderId="20" xfId="0" applyFont="1" applyFill="1" applyBorder="1"/>
    <xf numFmtId="44" fontId="7" fillId="6" borderId="20" xfId="1" applyFont="1" applyFill="1" applyBorder="1"/>
    <xf numFmtId="0" fontId="7" fillId="6" borderId="20" xfId="0" applyFont="1" applyFill="1" applyBorder="1"/>
    <xf numFmtId="0" fontId="2" fillId="6" borderId="20" xfId="0" applyFont="1" applyFill="1" applyBorder="1" applyAlignment="1">
      <alignment vertical="center" wrapText="1"/>
    </xf>
    <xf numFmtId="0" fontId="2" fillId="6" borderId="15" xfId="0" applyFont="1" applyFill="1" applyBorder="1"/>
    <xf numFmtId="164" fontId="2" fillId="4" borderId="13" xfId="1" applyNumberFormat="1" applyFont="1" applyFill="1" applyBorder="1" applyAlignment="1">
      <alignment horizontal="center"/>
    </xf>
    <xf numFmtId="164" fontId="2" fillId="4" borderId="13" xfId="0" applyNumberFormat="1" applyFont="1" applyFill="1" applyBorder="1" applyAlignment="1">
      <alignment horizontal="center"/>
    </xf>
    <xf numFmtId="9" fontId="2" fillId="2" borderId="13" xfId="2" applyNumberFormat="1" applyFont="1" applyFill="1" applyBorder="1" applyAlignment="1">
      <alignment horizontal="center"/>
    </xf>
    <xf numFmtId="9" fontId="2" fillId="2" borderId="13" xfId="2" applyFont="1" applyFill="1" applyBorder="1" applyAlignment="1">
      <alignment horizont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0828B"/>
      <color rgb="FF6C9CA3"/>
      <color rgb="FFBD92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ln w="12700" cmpd="sng">
                  <a:solidFill>
                    <a:srgbClr val="F0828B"/>
                  </a:solidFill>
                </a:ln>
                <a:solidFill>
                  <a:srgbClr val="F0828B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ln w="12700" cmpd="sng">
                  <a:solidFill>
                    <a:srgbClr val="F0828B"/>
                  </a:solidFill>
                </a:ln>
                <a:solidFill>
                  <a:srgbClr val="F0828B"/>
                </a:solidFill>
              </a:rPr>
              <a:t>Evolução dos Dividendos (R$)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ln w="12700" cmpd="sng">
                <a:solidFill>
                  <a:srgbClr val="F0828B"/>
                </a:solidFill>
              </a:ln>
              <a:solidFill>
                <a:srgbClr val="F0828B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291491688538935"/>
          <c:y val="0.13930555555555557"/>
          <c:w val="0.7438628608923884"/>
          <c:h val="0.622716170895304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'Evolução do Investimento'!$F$5</c:f>
              <c:strCache>
                <c:ptCount val="1"/>
                <c:pt idx="0">
                  <c:v>Dividendos (R$)</c:v>
                </c:pt>
              </c:strCache>
            </c:strRef>
          </c:tx>
          <c:spPr>
            <a:ln w="19050" cap="rnd">
              <a:solidFill>
                <a:srgbClr val="F0828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'Evolução do Investimento'!$B$6:$B$17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'Evolução do Investimento'!$F$6:$F$17</c:f>
              <c:numCache>
                <c:formatCode>_("R$"* #,##0.00_);_("R$"* \(#,##0.00\);_("R$"* "-"??_);_(@_)</c:formatCode>
                <c:ptCount val="12"/>
                <c:pt idx="0">
                  <c:v>2.8</c:v>
                </c:pt>
                <c:pt idx="1">
                  <c:v>37.995999999999995</c:v>
                </c:pt>
                <c:pt idx="2">
                  <c:v>75.655719999999988</c:v>
                </c:pt>
                <c:pt idx="3">
                  <c:v>115.9516204</c:v>
                </c:pt>
                <c:pt idx="4">
                  <c:v>159.06823382799999</c:v>
                </c:pt>
                <c:pt idx="5">
                  <c:v>205.20301019595996</c:v>
                </c:pt>
                <c:pt idx="6">
                  <c:v>254.56722090967716</c:v>
                </c:pt>
                <c:pt idx="7">
                  <c:v>307.38692637335458</c:v>
                </c:pt>
                <c:pt idx="8">
                  <c:v>363.90401121948935</c:v>
                </c:pt>
                <c:pt idx="9">
                  <c:v>424.37729200485359</c:v>
                </c:pt>
                <c:pt idx="10">
                  <c:v>489.08370244519335</c:v>
                </c:pt>
                <c:pt idx="11">
                  <c:v>558.31956161635685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F1-415C-8522-46EF170EA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931152"/>
        <c:axId val="239931568"/>
      </c:scatterChart>
      <c:valAx>
        <c:axId val="23993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rgbClr val="6C9CA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1">
                    <a:solidFill>
                      <a:srgbClr val="6C9CA3"/>
                    </a:solidFill>
                  </a:rPr>
                  <a:t>Meses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rgbClr val="6C9CA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931568"/>
        <c:crosses val="autoZero"/>
        <c:crossBetween val="midCat"/>
      </c:valAx>
      <c:valAx>
        <c:axId val="23993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rgbClr val="6C9CA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400" b="1">
                    <a:solidFill>
                      <a:srgbClr val="6C9CA3"/>
                    </a:solidFill>
                  </a:rPr>
                  <a:t>Dividendos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rgbClr val="6C9CA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993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590549</xdr:colOff>
      <xdr:row>1</xdr:row>
      <xdr:rowOff>9526</xdr:rowOff>
    </xdr:from>
    <xdr:to>
      <xdr:col>3</xdr:col>
      <xdr:colOff>3461562</xdr:colOff>
      <xdr:row>14</xdr:row>
      <xdr:rowOff>169094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78" t="28125" r="5207" b="28418"/>
        <a:stretch/>
      </xdr:blipFill>
      <xdr:spPr>
        <a:xfrm>
          <a:off x="590549" y="200026"/>
          <a:ext cx="8162925" cy="263606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19</xdr:row>
      <xdr:rowOff>35719</xdr:rowOff>
    </xdr:from>
    <xdr:to>
      <xdr:col>8</xdr:col>
      <xdr:colOff>11907</xdr:colOff>
      <xdr:row>42</xdr:row>
      <xdr:rowOff>47625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</xdr:row>
      <xdr:rowOff>114300</xdr:rowOff>
    </xdr:from>
    <xdr:to>
      <xdr:col>12</xdr:col>
      <xdr:colOff>133350</xdr:colOff>
      <xdr:row>12</xdr:row>
      <xdr:rowOff>38100</xdr:rowOff>
    </xdr:to>
    <xdr:sp macro="" textlink="">
      <xdr:nvSpPr>
        <xdr:cNvPr id="2" name="CaixaDeTexto 1"/>
        <xdr:cNvSpPr txBox="1"/>
      </xdr:nvSpPr>
      <xdr:spPr>
        <a:xfrm>
          <a:off x="647700" y="495300"/>
          <a:ext cx="6800850" cy="182880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 i="0">
              <a:solidFill>
                <a:srgbClr val="F0828B"/>
              </a:solidFill>
              <a:effectLst/>
              <a:latin typeface="+mn-lt"/>
              <a:ea typeface="+mn-ea"/>
              <a:cs typeface="+mn-cs"/>
            </a:rPr>
            <a:t>Descrição do Desafio</a:t>
          </a:r>
        </a:p>
        <a:p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Objetivo: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aplicar os conceitos de Excel no desenvolvimento de uma ferramenta prática de simulação de investimentos em fundos imobiliários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A partir de uma compreensão aprofundada sobre como os fundos imobiliários funcionam e as perguntas típicas dos investidores (quanto investir, por quanto tempo, taxa de rendimento, etc.), o desafio consiste em </a:t>
          </a:r>
          <a:r>
            <a:rPr lang="pt-B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construir uma planilha que ajude o usuário a realizar essas simulações</a:t>
          </a: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auxiliando-o a tomar decisões mais informadas sobre seus investimentos. A solução proposta visa automatizar cálculos complexos, como o valor total investido, o patrimônio acumulado e os dividendos mensais, proporcionando ao usuário uma visão clara de seu potencial retorno.</a:t>
          </a:r>
        </a:p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D44"/>
  <sheetViews>
    <sheetView showGridLines="0" tabSelected="1" zoomScale="70" zoomScaleNormal="70" workbookViewId="0">
      <selection activeCell="D20" sqref="D20"/>
    </sheetView>
  </sheetViews>
  <sheetFormatPr defaultRowHeight="15" x14ac:dyDescent="0.25"/>
  <cols>
    <col min="1" max="1" width="9.140625" customWidth="1"/>
    <col min="2" max="2" width="0.140625" customWidth="1"/>
    <col min="3" max="3" width="70" customWidth="1"/>
    <col min="4" max="4" width="52.42578125" style="2" customWidth="1"/>
    <col min="5" max="5" width="9.140625" customWidth="1"/>
  </cols>
  <sheetData>
    <row r="12" spans="1:4" x14ac:dyDescent="0.25">
      <c r="A12" s="1"/>
      <c r="B12" s="1"/>
      <c r="C12" s="1"/>
      <c r="D12" s="4"/>
    </row>
    <row r="13" spans="1:4" x14ac:dyDescent="0.25">
      <c r="A13" s="1"/>
      <c r="B13" s="1"/>
      <c r="C13" s="1"/>
      <c r="D13" s="4"/>
    </row>
    <row r="14" spans="1:4" x14ac:dyDescent="0.25">
      <c r="A14" s="1"/>
      <c r="B14" s="1"/>
      <c r="C14" s="1"/>
      <c r="D14" s="4"/>
    </row>
    <row r="15" spans="1:4" x14ac:dyDescent="0.25">
      <c r="A15" s="1"/>
      <c r="B15" s="1"/>
      <c r="C15" s="1"/>
      <c r="D15" s="4"/>
    </row>
    <row r="16" spans="1:4" x14ac:dyDescent="0.25">
      <c r="A16" s="1"/>
      <c r="B16" s="1"/>
      <c r="C16" s="1"/>
      <c r="D16" s="4"/>
    </row>
    <row r="17" spans="1:4" x14ac:dyDescent="0.25">
      <c r="A17" s="1"/>
      <c r="B17" s="1"/>
      <c r="C17" s="1"/>
      <c r="D17" s="4"/>
    </row>
    <row r="18" spans="1:4" ht="36" x14ac:dyDescent="0.55000000000000004">
      <c r="A18" s="1"/>
      <c r="B18" s="1"/>
      <c r="C18" s="32" t="s">
        <v>10</v>
      </c>
      <c r="D18" s="31"/>
    </row>
    <row r="19" spans="1:4" ht="18.75" x14ac:dyDescent="0.3">
      <c r="A19" s="1"/>
      <c r="C19" s="16" t="s">
        <v>33</v>
      </c>
      <c r="D19" s="7" t="s">
        <v>9</v>
      </c>
    </row>
    <row r="20" spans="1:4" ht="18.75" x14ac:dyDescent="0.3">
      <c r="A20" s="1"/>
      <c r="C20" s="16" t="s">
        <v>2</v>
      </c>
      <c r="D20" s="8">
        <v>10</v>
      </c>
    </row>
    <row r="21" spans="1:4" ht="18.75" x14ac:dyDescent="0.3">
      <c r="A21" s="1"/>
      <c r="C21" s="16" t="s">
        <v>3</v>
      </c>
      <c r="D21" s="8">
        <v>0.7</v>
      </c>
    </row>
    <row r="22" spans="1:4" ht="18.75" x14ac:dyDescent="0.3">
      <c r="A22" s="1"/>
      <c r="C22" s="16" t="s">
        <v>14</v>
      </c>
      <c r="D22" s="24" t="s">
        <v>15</v>
      </c>
    </row>
    <row r="23" spans="1:4" x14ac:dyDescent="0.25">
      <c r="C23" s="1"/>
      <c r="D23" s="4"/>
    </row>
    <row r="24" spans="1:4" x14ac:dyDescent="0.25">
      <c r="C24" s="3"/>
      <c r="D24" s="5"/>
    </row>
    <row r="25" spans="1:4" ht="36" x14ac:dyDescent="0.55000000000000004">
      <c r="C25" s="30" t="s">
        <v>11</v>
      </c>
      <c r="D25" s="31"/>
    </row>
    <row r="26" spans="1:4" ht="18.75" x14ac:dyDescent="0.3">
      <c r="C26" s="16" t="s">
        <v>8</v>
      </c>
      <c r="D26" s="23">
        <v>500</v>
      </c>
    </row>
    <row r="27" spans="1:4" ht="18.75" x14ac:dyDescent="0.3">
      <c r="C27" s="16" t="s">
        <v>1</v>
      </c>
      <c r="D27" s="9">
        <f>D20*D26</f>
        <v>5000</v>
      </c>
    </row>
    <row r="28" spans="1:4" x14ac:dyDescent="0.25">
      <c r="C28" s="1"/>
      <c r="D28" s="4"/>
    </row>
    <row r="29" spans="1:4" x14ac:dyDescent="0.25">
      <c r="A29" s="1"/>
      <c r="B29" s="1"/>
      <c r="C29" s="1"/>
      <c r="D29" s="4"/>
    </row>
    <row r="30" spans="1:4" ht="36" x14ac:dyDescent="0.55000000000000004">
      <c r="A30" s="1"/>
      <c r="B30" s="1"/>
      <c r="C30" s="30" t="s">
        <v>12</v>
      </c>
      <c r="D30" s="31"/>
    </row>
    <row r="31" spans="1:4" ht="18.75" x14ac:dyDescent="0.3">
      <c r="A31" s="1"/>
      <c r="B31" s="1"/>
      <c r="C31" s="16" t="s">
        <v>0</v>
      </c>
      <c r="D31" s="10">
        <v>500</v>
      </c>
    </row>
    <row r="32" spans="1:4" ht="18.75" x14ac:dyDescent="0.3">
      <c r="A32" s="1"/>
      <c r="B32" s="1"/>
      <c r="C32" s="17" t="s">
        <v>13</v>
      </c>
      <c r="D32" s="22">
        <v>12</v>
      </c>
    </row>
    <row r="33" spans="1:4" ht="18.75" x14ac:dyDescent="0.3">
      <c r="A33" s="1"/>
      <c r="B33" s="1"/>
      <c r="C33" s="17" t="s">
        <v>16</v>
      </c>
      <c r="D33" s="11" t="s">
        <v>4</v>
      </c>
    </row>
    <row r="34" spans="1:4" x14ac:dyDescent="0.25">
      <c r="A34" s="1"/>
      <c r="B34" s="1"/>
      <c r="C34" s="1"/>
      <c r="D34" s="4"/>
    </row>
    <row r="36" spans="1:4" ht="36" x14ac:dyDescent="0.55000000000000004">
      <c r="A36" s="1"/>
      <c r="C36" s="28" t="s">
        <v>17</v>
      </c>
      <c r="D36" s="29"/>
    </row>
    <row r="37" spans="1:4" ht="18.75" x14ac:dyDescent="0.3">
      <c r="A37" s="1"/>
      <c r="C37" s="16" t="s">
        <v>18</v>
      </c>
      <c r="D37" s="25">
        <f>'Dados de Entrada'!D26*'Dados de Entrada'!D21</f>
        <v>350</v>
      </c>
    </row>
    <row r="38" spans="1:4" ht="18.75" x14ac:dyDescent="0.3">
      <c r="A38" s="1"/>
      <c r="C38" s="17" t="s">
        <v>19</v>
      </c>
      <c r="D38" s="26">
        <f>D37*12</f>
        <v>4200</v>
      </c>
    </row>
    <row r="39" spans="1:4" ht="18.75" x14ac:dyDescent="0.3">
      <c r="A39" s="1"/>
      <c r="C39" s="17" t="s">
        <v>20</v>
      </c>
      <c r="D39" s="48">
        <f>'Dados de Entrada'!D21/'Dados de Entrada'!D20</f>
        <v>6.9999999999999993E-2</v>
      </c>
    </row>
    <row r="40" spans="1:4" ht="18.75" x14ac:dyDescent="0.3">
      <c r="A40" s="1"/>
      <c r="C40" s="17" t="s">
        <v>21</v>
      </c>
      <c r="D40" s="49">
        <f>D39*12</f>
        <v>0.83999999999999986</v>
      </c>
    </row>
    <row r="41" spans="1:4" ht="18.75" x14ac:dyDescent="0.3">
      <c r="A41" s="1"/>
      <c r="C41" s="17" t="s">
        <v>22</v>
      </c>
      <c r="D41" s="46">
        <f>'Evolução do Investimento'!D18</f>
        <v>6000</v>
      </c>
    </row>
    <row r="42" spans="1:4" ht="18.75" x14ac:dyDescent="0.3">
      <c r="A42" s="1"/>
      <c r="C42" s="17" t="s">
        <v>23</v>
      </c>
      <c r="D42" s="47">
        <f>'Evolução do Investimento'!F18</f>
        <v>2994.3132989928845</v>
      </c>
    </row>
    <row r="43" spans="1:4" ht="18.75" x14ac:dyDescent="0.3">
      <c r="A43" s="1"/>
      <c r="C43" s="18" t="s">
        <v>24</v>
      </c>
      <c r="D43" s="27">
        <f>'Evolução do Investimento'!E18</f>
        <v>600</v>
      </c>
    </row>
    <row r="44" spans="1:4" x14ac:dyDescent="0.25">
      <c r="A44" s="1"/>
    </row>
  </sheetData>
  <mergeCells count="4">
    <mergeCell ref="C18:D18"/>
    <mergeCell ref="C25:D25"/>
    <mergeCell ref="C30:D30"/>
    <mergeCell ref="C36:D36"/>
  </mergeCells>
  <dataValidations count="3">
    <dataValidation type="list" allowBlank="1" showInputMessage="1" showErrorMessage="1" sqref="D33">
      <formula1>"SIM, NÃO"</formula1>
    </dataValidation>
    <dataValidation type="decimal" operator="greaterThan" allowBlank="1" showInputMessage="1" showErrorMessage="1" sqref="D20">
      <formula1>0</formula1>
    </dataValidation>
    <dataValidation type="decimal" operator="greaterThanOrEqual" allowBlank="1" showInputMessage="1" showErrorMessage="1" sqref="D26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8"/>
  <sheetViews>
    <sheetView showGridLines="0" zoomScale="80" zoomScaleNormal="80" workbookViewId="0">
      <selection activeCell="E6" sqref="E6"/>
    </sheetView>
  </sheetViews>
  <sheetFormatPr defaultRowHeight="15" x14ac:dyDescent="0.25"/>
  <cols>
    <col min="3" max="3" width="18" bestFit="1" customWidth="1"/>
    <col min="4" max="4" width="18.140625" style="6" bestFit="1" customWidth="1"/>
    <col min="5" max="5" width="17.140625" bestFit="1" customWidth="1"/>
    <col min="6" max="6" width="22.7109375" style="6" bestFit="1" customWidth="1"/>
    <col min="7" max="7" width="22.140625" bestFit="1" customWidth="1"/>
    <col min="8" max="8" width="16.5703125" bestFit="1" customWidth="1"/>
  </cols>
  <sheetData>
    <row r="3" spans="2:8" ht="36" x14ac:dyDescent="0.55000000000000004">
      <c r="B3" s="33" t="s">
        <v>25</v>
      </c>
      <c r="C3" s="34"/>
      <c r="D3" s="34"/>
      <c r="E3" s="34"/>
      <c r="F3" s="34"/>
      <c r="G3" s="34"/>
      <c r="H3" s="35"/>
    </row>
    <row r="4" spans="2:8" ht="18.75" x14ac:dyDescent="0.3">
      <c r="B4" s="20"/>
      <c r="C4" s="21"/>
      <c r="D4" s="21"/>
      <c r="E4" s="21"/>
      <c r="F4" s="21"/>
      <c r="G4" s="21"/>
      <c r="H4" s="21"/>
    </row>
    <row r="5" spans="2:8" ht="21" x14ac:dyDescent="0.25">
      <c r="B5" s="12" t="s">
        <v>26</v>
      </c>
      <c r="C5" s="13" t="s">
        <v>27</v>
      </c>
      <c r="D5" s="14" t="s">
        <v>28</v>
      </c>
      <c r="E5" s="13" t="s">
        <v>29</v>
      </c>
      <c r="F5" s="14" t="s">
        <v>30</v>
      </c>
      <c r="G5" s="13" t="s">
        <v>31</v>
      </c>
      <c r="H5" s="15" t="s">
        <v>32</v>
      </c>
    </row>
    <row r="6" spans="2:8" ht="18.75" x14ac:dyDescent="0.25">
      <c r="B6" s="36">
        <v>1</v>
      </c>
      <c r="C6" s="37">
        <v>4</v>
      </c>
      <c r="D6" s="38">
        <f>'Dados de Entrada'!D$31</f>
        <v>500</v>
      </c>
      <c r="E6" s="37">
        <f>'Dados de Entrada'!D$31/'Dados de Entrada'!D$20</f>
        <v>50</v>
      </c>
      <c r="F6" s="38">
        <f>C6*'Dados de Entrada'!D$21</f>
        <v>2.8</v>
      </c>
      <c r="G6" s="37">
        <f>IF('Dados de Entrada'!D$33 = "SIM",'Evolução do Investimento'!F6/'Dados de Entrada'!D$20, 0)</f>
        <v>0.27999999999999997</v>
      </c>
      <c r="H6" s="39">
        <f>C6+E6+G6</f>
        <v>54.28</v>
      </c>
    </row>
    <row r="7" spans="2:8" ht="18.75" x14ac:dyDescent="0.25">
      <c r="B7" s="36">
        <v>2</v>
      </c>
      <c r="C7" s="37">
        <f>H6</f>
        <v>54.28</v>
      </c>
      <c r="D7" s="38">
        <f>'Dados de Entrada'!D$31</f>
        <v>500</v>
      </c>
      <c r="E7" s="37">
        <f>'Dados de Entrada'!D$31/'Dados de Entrada'!D$20</f>
        <v>50</v>
      </c>
      <c r="F7" s="38">
        <f>C7*'Dados de Entrada'!D$21</f>
        <v>37.995999999999995</v>
      </c>
      <c r="G7" s="37">
        <f>IF('Dados de Entrada'!D$33 = "SIM",'Evolução do Investimento'!F7/'Dados de Entrada'!D$20, 0)</f>
        <v>3.7995999999999994</v>
      </c>
      <c r="H7" s="39">
        <f t="shared" ref="H7:H17" si="0">C7+E7+G7</f>
        <v>108.0796</v>
      </c>
    </row>
    <row r="8" spans="2:8" ht="18.75" x14ac:dyDescent="0.25">
      <c r="B8" s="36">
        <v>3</v>
      </c>
      <c r="C8" s="37">
        <f>H7</f>
        <v>108.0796</v>
      </c>
      <c r="D8" s="38">
        <f>'Dados de Entrada'!D$31</f>
        <v>500</v>
      </c>
      <c r="E8" s="37">
        <f>'Dados de Entrada'!D$31/'Dados de Entrada'!D$20</f>
        <v>50</v>
      </c>
      <c r="F8" s="38">
        <f>C8*'Dados de Entrada'!D$21</f>
        <v>75.655719999999988</v>
      </c>
      <c r="G8" s="37">
        <f>IF('Dados de Entrada'!D$33 = "SIM",'Evolução do Investimento'!F8/'Dados de Entrada'!D$20, 0)</f>
        <v>7.5655719999999986</v>
      </c>
      <c r="H8" s="39">
        <f t="shared" si="0"/>
        <v>165.645172</v>
      </c>
    </row>
    <row r="9" spans="2:8" ht="18.75" x14ac:dyDescent="0.25">
      <c r="B9" s="36">
        <v>4</v>
      </c>
      <c r="C9" s="37">
        <f t="shared" ref="C9:C17" si="1">H8</f>
        <v>165.645172</v>
      </c>
      <c r="D9" s="38">
        <f>'Dados de Entrada'!D$31</f>
        <v>500</v>
      </c>
      <c r="E9" s="37">
        <f>'Dados de Entrada'!D$31/'Dados de Entrada'!D$20</f>
        <v>50</v>
      </c>
      <c r="F9" s="38">
        <f>C9*'Dados de Entrada'!D$21</f>
        <v>115.9516204</v>
      </c>
      <c r="G9" s="37">
        <f>IF('Dados de Entrada'!D$33 = "SIM",'Evolução do Investimento'!F9/'Dados de Entrada'!D$20, 0)</f>
        <v>11.59516204</v>
      </c>
      <c r="H9" s="39">
        <f t="shared" si="0"/>
        <v>227.24033403999999</v>
      </c>
    </row>
    <row r="10" spans="2:8" ht="18.75" x14ac:dyDescent="0.25">
      <c r="B10" s="36">
        <v>5</v>
      </c>
      <c r="C10" s="37">
        <f t="shared" si="1"/>
        <v>227.24033403999999</v>
      </c>
      <c r="D10" s="38">
        <f>'Dados de Entrada'!D$31</f>
        <v>500</v>
      </c>
      <c r="E10" s="37">
        <f>'Dados de Entrada'!D$31/'Dados de Entrada'!D$20</f>
        <v>50</v>
      </c>
      <c r="F10" s="38">
        <f>C10*'Dados de Entrada'!D$21</f>
        <v>159.06823382799999</v>
      </c>
      <c r="G10" s="37">
        <f>IF('Dados de Entrada'!D$33 = "SIM",'Evolução do Investimento'!F10/'Dados de Entrada'!D$20, 0)</f>
        <v>15.906823382799999</v>
      </c>
      <c r="H10" s="39">
        <f t="shared" si="0"/>
        <v>293.14715742279998</v>
      </c>
    </row>
    <row r="11" spans="2:8" ht="18.75" x14ac:dyDescent="0.25">
      <c r="B11" s="36">
        <v>6</v>
      </c>
      <c r="C11" s="37">
        <f t="shared" si="1"/>
        <v>293.14715742279998</v>
      </c>
      <c r="D11" s="38">
        <f>'Dados de Entrada'!D$31</f>
        <v>500</v>
      </c>
      <c r="E11" s="37">
        <f>'Dados de Entrada'!D$31/'Dados de Entrada'!D$20</f>
        <v>50</v>
      </c>
      <c r="F11" s="38">
        <f>C11*'Dados de Entrada'!D$21</f>
        <v>205.20301019595996</v>
      </c>
      <c r="G11" s="37">
        <f>IF('Dados de Entrada'!D$33 = "SIM",'Evolução do Investimento'!F11/'Dados de Entrada'!D$20, 0)</f>
        <v>20.520301019595998</v>
      </c>
      <c r="H11" s="39">
        <f t="shared" si="0"/>
        <v>363.66745844239597</v>
      </c>
    </row>
    <row r="12" spans="2:8" ht="18.75" x14ac:dyDescent="0.25">
      <c r="B12" s="36">
        <v>7</v>
      </c>
      <c r="C12" s="37">
        <f t="shared" si="1"/>
        <v>363.66745844239597</v>
      </c>
      <c r="D12" s="38">
        <f>'Dados de Entrada'!D$31</f>
        <v>500</v>
      </c>
      <c r="E12" s="37">
        <f>'Dados de Entrada'!D$31/'Dados de Entrada'!D$20</f>
        <v>50</v>
      </c>
      <c r="F12" s="38">
        <f>C12*'Dados de Entrada'!D$21</f>
        <v>254.56722090967716</v>
      </c>
      <c r="G12" s="37">
        <f>IF('Dados de Entrada'!D$33 = "SIM",'Evolução do Investimento'!F12/'Dados de Entrada'!D$20, 0)</f>
        <v>25.456722090967716</v>
      </c>
      <c r="H12" s="39">
        <f t="shared" si="0"/>
        <v>439.1241805333637</v>
      </c>
    </row>
    <row r="13" spans="2:8" ht="18.75" x14ac:dyDescent="0.25">
      <c r="B13" s="36">
        <v>8</v>
      </c>
      <c r="C13" s="37">
        <f t="shared" si="1"/>
        <v>439.1241805333637</v>
      </c>
      <c r="D13" s="38">
        <f>'Dados de Entrada'!D$31</f>
        <v>500</v>
      </c>
      <c r="E13" s="37">
        <f>'Dados de Entrada'!D$31/'Dados de Entrada'!D$20</f>
        <v>50</v>
      </c>
      <c r="F13" s="38">
        <f>C13*'Dados de Entrada'!D$21</f>
        <v>307.38692637335458</v>
      </c>
      <c r="G13" s="37">
        <f>IF('Dados de Entrada'!D$33 = "SIM",'Evolução do Investimento'!F13/'Dados de Entrada'!D$20, 0)</f>
        <v>30.738692637335458</v>
      </c>
      <c r="H13" s="39">
        <f t="shared" si="0"/>
        <v>519.86287317069912</v>
      </c>
    </row>
    <row r="14" spans="2:8" ht="18.75" x14ac:dyDescent="0.25">
      <c r="B14" s="36">
        <v>9</v>
      </c>
      <c r="C14" s="37">
        <f t="shared" si="1"/>
        <v>519.86287317069912</v>
      </c>
      <c r="D14" s="38">
        <f>'Dados de Entrada'!D$31</f>
        <v>500</v>
      </c>
      <c r="E14" s="37">
        <f>'Dados de Entrada'!D$31/'Dados de Entrada'!D$20</f>
        <v>50</v>
      </c>
      <c r="F14" s="38">
        <f>C14*'Dados de Entrada'!D$21</f>
        <v>363.90401121948935</v>
      </c>
      <c r="G14" s="37">
        <f>IF('Dados de Entrada'!D$33 = "SIM",'Evolução do Investimento'!F14/'Dados de Entrada'!D$20, 0)</f>
        <v>36.390401121948933</v>
      </c>
      <c r="H14" s="39">
        <f t="shared" si="0"/>
        <v>606.25327429264803</v>
      </c>
    </row>
    <row r="15" spans="2:8" ht="18.75" x14ac:dyDescent="0.25">
      <c r="B15" s="36">
        <v>10</v>
      </c>
      <c r="C15" s="37">
        <f t="shared" si="1"/>
        <v>606.25327429264803</v>
      </c>
      <c r="D15" s="38">
        <f>'Dados de Entrada'!D$31</f>
        <v>500</v>
      </c>
      <c r="E15" s="37">
        <f>'Dados de Entrada'!D$31/'Dados de Entrada'!D$20</f>
        <v>50</v>
      </c>
      <c r="F15" s="38">
        <f>C15*'Dados de Entrada'!D$21</f>
        <v>424.37729200485359</v>
      </c>
      <c r="G15" s="37">
        <f>IF('Dados de Entrada'!D$33 = "SIM",'Evolução do Investimento'!F15/'Dados de Entrada'!D$20, 0)</f>
        <v>42.437729200485357</v>
      </c>
      <c r="H15" s="39">
        <f t="shared" si="0"/>
        <v>698.69100349313339</v>
      </c>
    </row>
    <row r="16" spans="2:8" ht="18.75" x14ac:dyDescent="0.25">
      <c r="B16" s="36">
        <v>11</v>
      </c>
      <c r="C16" s="37">
        <f t="shared" si="1"/>
        <v>698.69100349313339</v>
      </c>
      <c r="D16" s="38">
        <f>'Dados de Entrada'!D$31</f>
        <v>500</v>
      </c>
      <c r="E16" s="37">
        <f>'Dados de Entrada'!D$31/'Dados de Entrada'!D$20</f>
        <v>50</v>
      </c>
      <c r="F16" s="38">
        <f>C16*'Dados de Entrada'!D$21</f>
        <v>489.08370244519335</v>
      </c>
      <c r="G16" s="37">
        <f>IF('Dados de Entrada'!D$33 = "SIM",'Evolução do Investimento'!F16/'Dados de Entrada'!D$20, 0)</f>
        <v>48.908370244519332</v>
      </c>
      <c r="H16" s="39">
        <f t="shared" si="0"/>
        <v>797.59937373765274</v>
      </c>
    </row>
    <row r="17" spans="2:8" ht="18.75" x14ac:dyDescent="0.25">
      <c r="B17" s="36">
        <v>12</v>
      </c>
      <c r="C17" s="37">
        <f t="shared" si="1"/>
        <v>797.59937373765274</v>
      </c>
      <c r="D17" s="38">
        <f>'Dados de Entrada'!D$31</f>
        <v>500</v>
      </c>
      <c r="E17" s="37">
        <f>'Dados de Entrada'!D$31/'Dados de Entrada'!D$20</f>
        <v>50</v>
      </c>
      <c r="F17" s="38">
        <f>C17*'Dados de Entrada'!D$21</f>
        <v>558.31956161635685</v>
      </c>
      <c r="G17" s="37">
        <f>IF('Dados de Entrada'!D$33 = "SIM",'Evolução do Investimento'!F17/'Dados de Entrada'!D$20, 0)</f>
        <v>55.831956161635688</v>
      </c>
      <c r="H17" s="39">
        <f t="shared" si="0"/>
        <v>903.43132989928847</v>
      </c>
    </row>
    <row r="18" spans="2:8" ht="18.75" x14ac:dyDescent="0.3">
      <c r="B18" s="40"/>
      <c r="C18" s="41"/>
      <c r="D18" s="42">
        <f>SUM(D6:D17)</f>
        <v>6000</v>
      </c>
      <c r="E18" s="43">
        <f>SUM(E6:E17)</f>
        <v>600</v>
      </c>
      <c r="F18" s="42">
        <f>SUM(F6:F17)</f>
        <v>2994.3132989928845</v>
      </c>
      <c r="G18" s="44"/>
      <c r="H18" s="45"/>
    </row>
  </sheetData>
  <mergeCells count="2">
    <mergeCell ref="B3:H3"/>
    <mergeCell ref="B4:H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4:B17"/>
  <sheetViews>
    <sheetView showGridLines="0" workbookViewId="0">
      <selection activeCell="G21" sqref="G21"/>
    </sheetView>
  </sheetViews>
  <sheetFormatPr defaultRowHeight="15" x14ac:dyDescent="0.25"/>
  <sheetData>
    <row r="14" spans="2:2" x14ac:dyDescent="0.25">
      <c r="B14" s="19" t="s">
        <v>34</v>
      </c>
    </row>
    <row r="15" spans="2:2" x14ac:dyDescent="0.25">
      <c r="B15" t="s">
        <v>5</v>
      </c>
    </row>
    <row r="16" spans="2:2" x14ac:dyDescent="0.25">
      <c r="B16" t="s">
        <v>6</v>
      </c>
    </row>
    <row r="17" spans="2:2" x14ac:dyDescent="0.25">
      <c r="B17" t="s">
        <v>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5</vt:i4>
      </vt:variant>
    </vt:vector>
  </HeadingPairs>
  <TitlesOfParts>
    <vt:vector size="8" baseType="lpstr">
      <vt:lpstr>Dados de Entrada</vt:lpstr>
      <vt:lpstr>Evolução do Investimento</vt:lpstr>
      <vt:lpstr>Perguntas de Negócio</vt:lpstr>
      <vt:lpstr>Aporte_inicial_formula</vt:lpstr>
      <vt:lpstr>Dividendo_mensal_por_cota</vt:lpstr>
      <vt:lpstr>nome_FII</vt:lpstr>
      <vt:lpstr>Preço_da_cota</vt:lpstr>
      <vt:lpstr>quantidade_de_cotas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Jonathas Nogueira</dc:creator>
  <cp:lastModifiedBy>Jonathas Nogueira</cp:lastModifiedBy>
  <dcterms:created xsi:type="dcterms:W3CDTF">2026-01-07T18:59:24Z</dcterms:created>
  <dcterms:modified xsi:type="dcterms:W3CDTF">2026-01-08T17:50:23Z</dcterms:modified>
</cp:coreProperties>
</file>